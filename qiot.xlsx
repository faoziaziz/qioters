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io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<sst xmlns="http://schemas.openxmlformats.org/spreadsheetml/2006/main" count="405" uniqueCount="336">
  <si>
    <t xml:space="preserve">Reference</t>
  </si>
  <si>
    <t xml:space="preserve">Value</t>
  </si>
  <si>
    <t xml:space="preserve"> LCSC Part #</t>
  </si>
  <si>
    <t xml:space="preserve">Manufacturer_Part_Number</t>
  </si>
  <si>
    <t xml:space="preserve">Footprint</t>
  </si>
  <si>
    <t xml:space="preserve">Qty</t>
  </si>
  <si>
    <t xml:space="preserve">DNP</t>
  </si>
  <si>
    <t xml:space="preserve">JLCPARTS</t>
  </si>
  <si>
    <t xml:space="preserve">unit pricce</t>
  </si>
  <si>
    <t xml:space="preserve">price SKU</t>
  </si>
  <si>
    <t xml:space="preserve">C1,C28,C41,C54,C102</t>
  </si>
  <si>
    <t xml:space="preserve">1uF</t>
  </si>
  <si>
    <t xml:space="preserve">C29266</t>
  </si>
  <si>
    <t xml:space="preserve">CL05A105KO5NNNC</t>
  </si>
  <si>
    <t xml:space="preserve">Capacitor_SMD:C_0402_1005Metric</t>
  </si>
  <si>
    <t xml:space="preserve">C2,C13,C16,C18,C23,C33,C34,C35,C93</t>
  </si>
  <si>
    <t xml:space="preserve">4.7uF</t>
  </si>
  <si>
    <t xml:space="preserve">C23733</t>
  </si>
  <si>
    <t xml:space="preserve">CL05A475MP5NRNC</t>
  </si>
  <si>
    <t xml:space="preserve">C3,C5,C6,C10,C11,C12,C15,C17,C19,C20,C21,C24,C25,C27</t>
  </si>
  <si>
    <t xml:space="preserve">220nF</t>
  </si>
  <si>
    <t xml:space="preserve">C16772</t>
  </si>
  <si>
    <t xml:space="preserve">CL05B224KO5NNNC</t>
  </si>
  <si>
    <t xml:space="preserve">C4,C7,C8,C9</t>
  </si>
  <si>
    <t xml:space="preserve">12pF</t>
  </si>
  <si>
    <t xml:space="preserve">C76948</t>
  </si>
  <si>
    <t xml:space="preserve">GRM1555C1H120JA01D</t>
  </si>
  <si>
    <t xml:space="preserve">C14,C22,C26,C38,C100</t>
  </si>
  <si>
    <t xml:space="preserve">22uF</t>
  </si>
  <si>
    <t xml:space="preserve">C59461</t>
  </si>
  <si>
    <t xml:space="preserve">CL10A226MQ8NRNC</t>
  </si>
  <si>
    <t xml:space="preserve">Capacitor_SMD:C_0603_1608Metric</t>
  </si>
  <si>
    <t xml:space="preserve">C29,C30,C31,C32,C37,C39,C40,C42,C55,C62,C63,C64,C66,C73,C81,C83,C90,C94,C95,C98,C103</t>
  </si>
  <si>
    <t xml:space="preserve">100nF</t>
  </si>
  <si>
    <t xml:space="preserve">C77020</t>
  </si>
  <si>
    <t xml:space="preserve">GRM155R71H104KE14D</t>
  </si>
  <si>
    <t xml:space="preserve">C36,C52,C56,C58,C59,C65,C67,C71,C72,C74,C75,C77,C78,C79,C87,C88,C99,C101</t>
  </si>
  <si>
    <t xml:space="preserve">10uF</t>
  </si>
  <si>
    <t xml:space="preserve">C194427</t>
  </si>
  <si>
    <t xml:space="preserve">GRM188R6YA106MA73D</t>
  </si>
  <si>
    <t xml:space="preserve">C43,C48,C50,C97</t>
  </si>
  <si>
    <t xml:space="preserve">470nF</t>
  </si>
  <si>
    <t xml:space="preserve">C437527</t>
  </si>
  <si>
    <t xml:space="preserve">GRM155R61H474KE11D</t>
  </si>
  <si>
    <t xml:space="preserve">C44,C45,C46,C47,C49,C51,C96</t>
  </si>
  <si>
    <t xml:space="preserve">10nF</t>
  </si>
  <si>
    <t xml:space="preserve">C60133</t>
  </si>
  <si>
    <t xml:space="preserve">CC0402KRX7R9BB103</t>
  </si>
  <si>
    <t xml:space="preserve">C57</t>
  </si>
  <si>
    <t xml:space="preserve">22nF</t>
  </si>
  <si>
    <t xml:space="preserve">C77023</t>
  </si>
  <si>
    <t xml:space="preserve">GRM155R71H223KA12D</t>
  </si>
  <si>
    <t xml:space="preserve">C61</t>
  </si>
  <si>
    <t xml:space="preserve">C2858031</t>
  </si>
  <si>
    <t xml:space="preserve">GRM155R61E475ME15D</t>
  </si>
  <si>
    <t xml:space="preserve">C68</t>
  </si>
  <si>
    <t xml:space="preserve">C696800</t>
  </si>
  <si>
    <t xml:space="preserve">T491X226K050AT</t>
  </si>
  <si>
    <t xml:space="preserve">footprints:CAP-SMD_L7.3-W4.3-R-RD</t>
  </si>
  <si>
    <t xml:space="preserve">C70,C86,C91</t>
  </si>
  <si>
    <t xml:space="preserve">2.2uF</t>
  </si>
  <si>
    <t xml:space="preserve">C385032</t>
  </si>
  <si>
    <t xml:space="preserve"> GRM155R61E225KE11D</t>
  </si>
  <si>
    <t xml:space="preserve">C76,C80,C89,C104</t>
  </si>
  <si>
    <t xml:space="preserve">1nF</t>
  </si>
  <si>
    <t xml:space="preserve">C696907</t>
  </si>
  <si>
    <t xml:space="preserve">TCC0402X7R102M500AT</t>
  </si>
  <si>
    <t xml:space="preserve">C82</t>
  </si>
  <si>
    <t xml:space="preserve">47pF</t>
  </si>
  <si>
    <t xml:space="preserve">C105622</t>
  </si>
  <si>
    <t xml:space="preserve"> CC0603JRNPO9BN470</t>
  </si>
  <si>
    <t xml:space="preserve">C84,C85,C105</t>
  </si>
  <si>
    <t xml:space="preserve">47uF</t>
  </si>
  <si>
    <t xml:space="preserve">C140782</t>
  </si>
  <si>
    <t xml:space="preserve">GRM188R60J476ME15D</t>
  </si>
  <si>
    <t xml:space="preserve">C92</t>
  </si>
  <si>
    <t xml:space="preserve">C403725</t>
  </si>
  <si>
    <t xml:space="preserve">GRM31CR61E476ME44L</t>
  </si>
  <si>
    <t xml:space="preserve">Capacitor_SMD:C_1206_3216Metric</t>
  </si>
  <si>
    <t xml:space="preserve">D1,D4,D5,D7</t>
  </si>
  <si>
    <t xml:space="preserve">150040GS73240</t>
  </si>
  <si>
    <t xml:space="preserve">C6210741</t>
  </si>
  <si>
    <t xml:space="preserve">LED_SMD:LED_0402_1005Metric</t>
  </si>
  <si>
    <t xml:space="preserve">D2,D3</t>
  </si>
  <si>
    <t xml:space="preserve">PMEG3020EH</t>
  </si>
  <si>
    <t xml:space="preserve">C167645</t>
  </si>
  <si>
    <t xml:space="preserve">Diode_SMD:D_SOD-123F</t>
  </si>
  <si>
    <t xml:space="preserve">D6,D11,D12,D13,D14</t>
  </si>
  <si>
    <t xml:space="preserve">LED</t>
  </si>
  <si>
    <t xml:space="preserve">IN-S42BT5UW</t>
  </si>
  <si>
    <t xml:space="preserve">D8,D9,D10</t>
  </si>
  <si>
    <t xml:space="preserve">CUS05S40</t>
  </si>
  <si>
    <t xml:space="preserve">C2762696</t>
  </si>
  <si>
    <t xml:space="preserve">CUS05S40.H3F</t>
  </si>
  <si>
    <t xml:space="preserve">Diode_SMD:D_SOD-323</t>
  </si>
  <si>
    <t xml:space="preserve">J3,J26</t>
  </si>
  <si>
    <t xml:space="preserve">TYPE-C-31-M-12</t>
  </si>
  <si>
    <t xml:space="preserve">C165948</t>
  </si>
  <si>
    <t xml:space="preserve">footprints:HRO_TYPE-C-31-M-12</t>
  </si>
  <si>
    <t xml:space="preserve">J4</t>
  </si>
  <si>
    <t xml:space="preserve">PJ-102AH</t>
  </si>
  <si>
    <t xml:space="preserve">C3096093</t>
  </si>
  <si>
    <t xml:space="preserve">footprints:DC-IN-TH_PJ-102AH</t>
  </si>
  <si>
    <t xml:space="preserve">L1</t>
  </si>
  <si>
    <t xml:space="preserve">4.7uH_2016</t>
  </si>
  <si>
    <t xml:space="preserve">C383380</t>
  </si>
  <si>
    <t xml:space="preserve">MLP2016H4R7MT0S1</t>
  </si>
  <si>
    <t xml:space="preserve">Inductor_SMD:L_Murata_DFE201610P</t>
  </si>
  <si>
    <t xml:space="preserve">L2</t>
  </si>
  <si>
    <t xml:space="preserve">6.8uH</t>
  </si>
  <si>
    <t xml:space="preserve">C41405888</t>
  </si>
  <si>
    <t xml:space="preserve">YSMC201610H-6R8MB</t>
  </si>
  <si>
    <t xml:space="preserve">L3</t>
  </si>
  <si>
    <t xml:space="preserve">2.2uH</t>
  </si>
  <si>
    <t xml:space="preserve">C41347750</t>
  </si>
  <si>
    <t xml:space="preserve">AFE201612S2R2MBT</t>
  </si>
  <si>
    <t xml:space="preserve">Inductor_SMD:L_APV_APH0620</t>
  </si>
  <si>
    <t xml:space="preserve">Q1,Q2,Q3,Q8</t>
  </si>
  <si>
    <t xml:space="preserve">PMBT2222A</t>
  </si>
  <si>
    <t xml:space="preserve">C23869</t>
  </si>
  <si>
    <t xml:space="preserve">PMBT2222A,215</t>
  </si>
  <si>
    <t xml:space="preserve">Package_TO_SOT_SMD:SOT-23</t>
  </si>
  <si>
    <t xml:space="preserve">Q4,Q5,Q9,Q10</t>
  </si>
  <si>
    <t xml:space="preserve">IRLZ44NSTRL(UMW)</t>
  </si>
  <si>
    <t xml:space="preserve">C42370422</t>
  </si>
  <si>
    <t xml:space="preserve">Package_TO_SOT_SMD:TO-263-2</t>
  </si>
  <si>
    <t xml:space="preserve">Q6</t>
  </si>
  <si>
    <t xml:space="preserve">2N7002</t>
  </si>
  <si>
    <t xml:space="preserve">C65189</t>
  </si>
  <si>
    <t xml:space="preserve">2N7002,215</t>
  </si>
  <si>
    <t xml:space="preserve">Q7</t>
  </si>
  <si>
    <t xml:space="preserve">BSS223PW</t>
  </si>
  <si>
    <t xml:space="preserve">C5197341</t>
  </si>
  <si>
    <t xml:space="preserve">BSS223PW-VB</t>
  </si>
  <si>
    <t xml:space="preserve">Package_TO_SOT_SMD:SOT-323_SC-70</t>
  </si>
  <si>
    <t xml:space="preserve">R1</t>
  </si>
  <si>
    <t xml:space="preserve">2.2M</t>
  </si>
  <si>
    <t xml:space="preserve">C2998080</t>
  </si>
  <si>
    <t xml:space="preserve">FRC0402F2204TS</t>
  </si>
  <si>
    <t xml:space="preserve">Resistor_SMD:R_0402_1005Metric</t>
  </si>
  <si>
    <t xml:space="preserve">R3,R5,R6,R7,R18,R29,R33,R46,R50,R53,R84,R87,R92,R93,TH1,TH2,TH3,TH4</t>
  </si>
  <si>
    <t xml:space="preserve">10K</t>
  </si>
  <si>
    <t xml:space="preserve">C60490</t>
  </si>
  <si>
    <t xml:space="preserve">RC0402FR-0710KL</t>
  </si>
  <si>
    <t xml:space="preserve">R4,R80</t>
  </si>
  <si>
    <t xml:space="preserve">30K</t>
  </si>
  <si>
    <t xml:space="preserve">C138008</t>
  </si>
  <si>
    <t xml:space="preserve">RC0402FR-0730KL</t>
  </si>
  <si>
    <t xml:space="preserve">R8,R12,R15,R25,R37,R41,R42</t>
  </si>
  <si>
    <t xml:space="preserve">1K</t>
  </si>
  <si>
    <t xml:space="preserve">C11702</t>
  </si>
  <si>
    <t xml:space="preserve">0402WGF1001TCE</t>
  </si>
  <si>
    <t xml:space="preserve">R9,R10,R85,R86</t>
  </si>
  <si>
    <t xml:space="preserve">5.1K</t>
  </si>
  <si>
    <t xml:space="preserve">C105872</t>
  </si>
  <si>
    <t xml:space="preserve">RC0402FR-075K1L</t>
  </si>
  <si>
    <t xml:space="preserve">R11</t>
  </si>
  <si>
    <t xml:space="preserve">2.7K</t>
  </si>
  <si>
    <t xml:space="preserve">C138017</t>
  </si>
  <si>
    <t xml:space="preserve">RC0402FR-072K7L</t>
  </si>
  <si>
    <t xml:space="preserve">R13,R16,R17,R38,R44,R48,R49</t>
  </si>
  <si>
    <t xml:space="preserve">100K</t>
  </si>
  <si>
    <t xml:space="preserve">C60491</t>
  </si>
  <si>
    <t xml:space="preserve">RC0402FR-07100KL</t>
  </si>
  <si>
    <t xml:space="preserve">R14</t>
  </si>
  <si>
    <t xml:space="preserve">1.5k</t>
  </si>
  <si>
    <t xml:space="preserve">C25867</t>
  </si>
  <si>
    <t xml:space="preserve">0402WGF1501TCE</t>
  </si>
  <si>
    <t xml:space="preserve">R20,R21,R22,R27</t>
  </si>
  <si>
    <t xml:space="preserve">C25120</t>
  </si>
  <si>
    <t xml:space="preserve">0402WGF499JTCE</t>
  </si>
  <si>
    <t xml:space="preserve">R24</t>
  </si>
  <si>
    <t xml:space="preserve">2K</t>
  </si>
  <si>
    <t xml:space="preserve">C4109</t>
  </si>
  <si>
    <t xml:space="preserve">0402WGF2001TCE</t>
  </si>
  <si>
    <t xml:space="preserve">R26</t>
  </si>
  <si>
    <t xml:space="preserve">C137984</t>
  </si>
  <si>
    <t xml:space="preserve">RC0402FR-07402RL</t>
  </si>
  <si>
    <t xml:space="preserve">R28,R58</t>
  </si>
  <si>
    <t xml:space="preserve">C2906862</t>
  </si>
  <si>
    <t xml:space="preserve">FRC0402F10R0TS</t>
  </si>
  <si>
    <t xml:space="preserve">R30,R32</t>
  </si>
  <si>
    <t xml:space="preserve">C106232</t>
  </si>
  <si>
    <t xml:space="preserve">RC0402FR-07100RL</t>
  </si>
  <si>
    <t xml:space="preserve">R31</t>
  </si>
  <si>
    <t xml:space="preserve">C473658</t>
  </si>
  <si>
    <t xml:space="preserve">CS02W8F500MTCE</t>
  </si>
  <si>
    <t xml:space="preserve">R34,R35,R36</t>
  </si>
  <si>
    <t xml:space="preserve">C138054</t>
  </si>
  <si>
    <t xml:space="preserve">RC0402FR-07150RL</t>
  </si>
  <si>
    <t xml:space="preserve">R39</t>
  </si>
  <si>
    <t xml:space="preserve">C453662</t>
  </si>
  <si>
    <t xml:space="preserve">RC-02K3650FT</t>
  </si>
  <si>
    <t xml:space="preserve">R40,R43,R56,R61</t>
  </si>
  <si>
    <t xml:space="preserve">C106231</t>
  </si>
  <si>
    <t xml:space="preserve">RC0402FR-070RL</t>
  </si>
  <si>
    <t xml:space="preserve">R45</t>
  </si>
  <si>
    <t xml:space="preserve">2.2K</t>
  </si>
  <si>
    <t xml:space="preserve">C114762</t>
  </si>
  <si>
    <t xml:space="preserve">RC0402FR-072K2L</t>
  </si>
  <si>
    <t xml:space="preserve">R47,R52,R65,R68,R74,R88</t>
  </si>
  <si>
    <t xml:space="preserve">4.7K</t>
  </si>
  <si>
    <t xml:space="preserve">C105871</t>
  </si>
  <si>
    <t xml:space="preserve">RC0402FR-074K7L</t>
  </si>
  <si>
    <t xml:space="preserve">R51</t>
  </si>
  <si>
    <t xml:space="preserve">C2085509</t>
  </si>
  <si>
    <t xml:space="preserve">CRCW04022R49FKED</t>
  </si>
  <si>
    <t xml:space="preserve">R54</t>
  </si>
  <si>
    <t xml:space="preserve">63.4K</t>
  </si>
  <si>
    <t xml:space="preserve">C2933107</t>
  </si>
  <si>
    <t xml:space="preserve">FRC0402F6342TS</t>
  </si>
  <si>
    <t xml:space="preserve">R57,R59</t>
  </si>
  <si>
    <t xml:space="preserve">C138067</t>
  </si>
  <si>
    <t xml:space="preserve">RC0402FR-0710ML</t>
  </si>
  <si>
    <t xml:space="preserve">R62</t>
  </si>
  <si>
    <t xml:space="preserve">200K</t>
  </si>
  <si>
    <t xml:space="preserve">C2907009</t>
  </si>
  <si>
    <t xml:space="preserve">FRC0603F2003TS</t>
  </si>
  <si>
    <t xml:space="preserve">Resistor_SMD:R_0603_1608Metric</t>
  </si>
  <si>
    <t xml:space="preserve">R63</t>
  </si>
  <si>
    <t xml:space="preserve">64K</t>
  </si>
  <si>
    <t xml:space="preserve">C2902643</t>
  </si>
  <si>
    <t xml:space="preserve">ARG03DTC6402N</t>
  </si>
  <si>
    <t xml:space="preserve">R64</t>
  </si>
  <si>
    <t xml:space="preserve">16K</t>
  </si>
  <si>
    <t xml:space="preserve">C163487</t>
  </si>
  <si>
    <t xml:space="preserve">RC0402FR-0716KL</t>
  </si>
  <si>
    <t xml:space="preserve">R66</t>
  </si>
  <si>
    <t xml:space="preserve">390K</t>
  </si>
  <si>
    <t xml:space="preserve">C25782</t>
  </si>
  <si>
    <t xml:space="preserve">0402WGF3903TCE</t>
  </si>
  <si>
    <t xml:space="preserve">R67,R77</t>
  </si>
  <si>
    <t xml:space="preserve">75K</t>
  </si>
  <si>
    <t xml:space="preserve">C137935</t>
  </si>
  <si>
    <t xml:space="preserve">RC0402FR-0775KL</t>
  </si>
  <si>
    <t xml:space="preserve">R69,R89</t>
  </si>
  <si>
    <t xml:space="preserve">47K</t>
  </si>
  <si>
    <t xml:space="preserve">C93943</t>
  </si>
  <si>
    <t xml:space="preserve">RC0402FR-0747KL</t>
  </si>
  <si>
    <t xml:space="preserve">R70,R90</t>
  </si>
  <si>
    <t xml:space="preserve">15K</t>
  </si>
  <si>
    <t xml:space="preserve">C25756</t>
  </si>
  <si>
    <t xml:space="preserve">0402WGF1502TCE</t>
  </si>
  <si>
    <t xml:space="preserve">R71,R72,R78,R91</t>
  </si>
  <si>
    <t xml:space="preserve">2.49K</t>
  </si>
  <si>
    <t xml:space="preserve">C102924</t>
  </si>
  <si>
    <t xml:space="preserve">RTT022491FTH</t>
  </si>
  <si>
    <t xml:space="preserve">R73</t>
  </si>
  <si>
    <t xml:space="preserve">20K</t>
  </si>
  <si>
    <t xml:space="preserve">C25765</t>
  </si>
  <si>
    <t xml:space="preserve">0402WGF2002TCE</t>
  </si>
  <si>
    <t xml:space="preserve">R75</t>
  </si>
  <si>
    <t xml:space="preserve">1M</t>
  </si>
  <si>
    <t xml:space="preserve">C138033</t>
  </si>
  <si>
    <t xml:space="preserve">RC0402FR-071ML</t>
  </si>
  <si>
    <t xml:space="preserve">R76,R79</t>
  </si>
  <si>
    <t xml:space="preserve">50K</t>
  </si>
  <si>
    <t xml:space="preserve">C861451</t>
  </si>
  <si>
    <t xml:space="preserve"> RT0603BRD0750KL</t>
  </si>
  <si>
    <t xml:space="preserve">R81,R82</t>
  </si>
  <si>
    <t xml:space="preserve">C3013344</t>
  </si>
  <si>
    <t xml:space="preserve">FRL0402JR100TS</t>
  </si>
  <si>
    <t xml:space="preserve">R83</t>
  </si>
  <si>
    <t xml:space="preserve">1.5K</t>
  </si>
  <si>
    <t xml:space="preserve">SW1</t>
  </si>
  <si>
    <t xml:space="preserve">SW_SPDT_312</t>
  </si>
  <si>
    <t xml:space="preserve">C466019</t>
  </si>
  <si>
    <t xml:space="preserve">DM1-16UC-1</t>
  </si>
  <si>
    <t xml:space="preserve">Button_Switch_THT:SW_XKB_DM1-16UC-1</t>
  </si>
  <si>
    <t xml:space="preserve">SW2</t>
  </si>
  <si>
    <t xml:space="preserve">SW_Push_Dual</t>
  </si>
  <si>
    <t xml:space="preserve">C470264</t>
  </si>
  <si>
    <t xml:space="preserve">SKHHNJA010</t>
  </si>
  <si>
    <t xml:space="preserve">footprints:SW-TH_SKHHNJA010</t>
  </si>
  <si>
    <t xml:space="preserve">U1</t>
  </si>
  <si>
    <t xml:space="preserve">UM803RS</t>
  </si>
  <si>
    <t xml:space="preserve">C620009</t>
  </si>
  <si>
    <t xml:space="preserve">U2</t>
  </si>
  <si>
    <t xml:space="preserve">MIMXRT1011DAE5A</t>
  </si>
  <si>
    <t xml:space="preserve">C1575810</t>
  </si>
  <si>
    <t xml:space="preserve">footprints:MIMXRT1011DAE5A_NXP</t>
  </si>
  <si>
    <t xml:space="preserve">U3</t>
  </si>
  <si>
    <t xml:space="preserve">TS5A3159DBVR</t>
  </si>
  <si>
    <t xml:space="preserve">C42411032</t>
  </si>
  <si>
    <t xml:space="preserve">TS5A3159DBVR-TP</t>
  </si>
  <si>
    <t xml:space="preserve">Package_TO_SOT_SMD:SOT-23-6</t>
  </si>
  <si>
    <t xml:space="preserve">U4</t>
  </si>
  <si>
    <t xml:space="preserve">W25Q128JVS</t>
  </si>
  <si>
    <t xml:space="preserve">C97521</t>
  </si>
  <si>
    <t xml:space="preserve">W25Q128JVSIQ</t>
  </si>
  <si>
    <t xml:space="preserve">footprints:SOIC127P790X216-8N</t>
  </si>
  <si>
    <t xml:space="preserve">U5</t>
  </si>
  <si>
    <t xml:space="preserve">MAX17320G20+T</t>
  </si>
  <si>
    <t xml:space="preserve">C7457895</t>
  </si>
  <si>
    <t xml:space="preserve">footprints:21-0139I_T2444-4_MXM</t>
  </si>
  <si>
    <t xml:space="preserve">U6</t>
  </si>
  <si>
    <t xml:space="preserve">LTC4162EUFD</t>
  </si>
  <si>
    <t xml:space="preserve">C3681528</t>
  </si>
  <si>
    <t xml:space="preserve">footprints:05-08-1712_ADI</t>
  </si>
  <si>
    <t xml:space="preserve">U7,U8,U10,U13</t>
  </si>
  <si>
    <t xml:space="preserve">TLV62130</t>
  </si>
  <si>
    <t xml:space="preserve">C122479</t>
  </si>
  <si>
    <t xml:space="preserve">TLV62130RGTR</t>
  </si>
  <si>
    <t xml:space="preserve">footprints:RGT0016C</t>
  </si>
  <si>
    <t xml:space="preserve">U9</t>
  </si>
  <si>
    <t xml:space="preserve">MAX42402AFLB+</t>
  </si>
  <si>
    <t xml:space="preserve">C22392296</t>
  </si>
  <si>
    <t xml:space="preserve">footprints:MAX42402AFLB</t>
  </si>
  <si>
    <t xml:space="preserve">U11</t>
  </si>
  <si>
    <t xml:space="preserve">DRV8825</t>
  </si>
  <si>
    <t xml:space="preserve">C81582</t>
  </si>
  <si>
    <t xml:space="preserve">DRV8825PWPR</t>
  </si>
  <si>
    <t xml:space="preserve">footprints:PWP28_5P18X3P1</t>
  </si>
  <si>
    <t xml:space="preserve">U12</t>
  </si>
  <si>
    <t xml:space="preserve">FC41D</t>
  </si>
  <si>
    <t xml:space="preserve">footprints:XCVR_FC41D</t>
  </si>
  <si>
    <t xml:space="preserve">U14</t>
  </si>
  <si>
    <t xml:space="preserve">PCA9539PW_118</t>
  </si>
  <si>
    <t xml:space="preserve">C2687996</t>
  </si>
  <si>
    <t xml:space="preserve">PCA9539PW,118</t>
  </si>
  <si>
    <t xml:space="preserve">footprints:SOP65P640X110-24N</t>
  </si>
  <si>
    <t xml:space="preserve">Y1</t>
  </si>
  <si>
    <t xml:space="preserve">24MHz</t>
  </si>
  <si>
    <t xml:space="preserve">C2965580</t>
  </si>
  <si>
    <t xml:space="preserve">XL7EL89CKI-111YLC-24M</t>
  </si>
  <si>
    <t xml:space="preserve">footprints:OSC_XRCGB24M000F2P29R0</t>
  </si>
  <si>
    <t xml:space="preserve">Y2</t>
  </si>
  <si>
    <t xml:space="preserve">32.768KHz</t>
  </si>
  <si>
    <t xml:space="preserve">C7528807</t>
  </si>
  <si>
    <t xml:space="preserve">XKXEL89CJI-SUAYLC-32.768K</t>
  </si>
  <si>
    <t xml:space="preserve">footprints:CRYSTAL_FC-135 32.7680KA-AG3_EPS</t>
  </si>
  <si>
    <t xml:space="preserve">C53,C60</t>
  </si>
  <si>
    <t xml:space="preserve">150uF</t>
  </si>
  <si>
    <t xml:space="preserve">C413508</t>
  </si>
  <si>
    <t xml:space="preserve">EEEFK1H151P</t>
  </si>
  <si>
    <t xml:space="preserve">Capacitor_SMD:CP_Elec_10x10.5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</si>
</sst>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true" showOutlineSymbols="true" defaultGridColor="true" view="normal" topLeftCell="C1" colorId="64" zoomScale="120" zoomScaleNormal="120" zoomScalePageLayoutView="100" workbookViewId="0">
      <selection pane="topLeft" activeCell="M78" activeCellId="0" sqref="M7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0.87"/>
    <col collapsed="false" customWidth="true" hidden="false" outlineLevel="0" max="2" min="2" style="0" width="18.82"/>
    <col collapsed="false" customWidth="true" hidden="false" outlineLevel="0" max="3" min="3" style="0" width="12.28"/>
    <col collapsed="false" customWidth="true" hidden="false" outlineLevel="0" max="4" min="4" style="0" width="27.3"/>
    <col collapsed="false" customWidth="true" hidden="false" outlineLevel="0" max="5" min="5" style="0" width="43.16"/>
    <col collapsed="false" customWidth="true" hidden="false" outlineLevel="0" max="6" min="6" style="0" width="4.49"/>
    <col collapsed="false" customWidth="true" hidden="false" outlineLevel="0" max="7" min="7" style="0" width="5.32"/>
    <col collapsed="false" customWidth="true" hidden="false" outlineLevel="0" max="8" min="8" style="0" width="14.0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K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n">
        <v>5</v>
      </c>
      <c r="I2" s="1" t="n">
        <v>0.0023</v>
      </c>
      <c r="J2" s="1"/>
      <c r="K2" s="0" t="n">
        <f aca="false">F2*I2</f>
        <v>0.0115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0" t="s">
        <v>14</v>
      </c>
      <c r="F3" s="0" t="n">
        <v>9</v>
      </c>
      <c r="I3" s="0" t="n">
        <v>0.005</v>
      </c>
      <c r="K3" s="0" t="n">
        <f aca="false">F3*I3</f>
        <v>0.045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14</v>
      </c>
      <c r="F4" s="0" t="n">
        <v>14</v>
      </c>
      <c r="I4" s="0" t="n">
        <v>0.0042</v>
      </c>
      <c r="K4" s="0" t="n">
        <f aca="false">F4*I4</f>
        <v>0.0588</v>
      </c>
    </row>
    <row r="5" customFormat="false" ht="12.8" hidden="false" customHeight="false" outlineLevel="0" collapsed="false">
      <c r="A5" s="0" t="s">
        <v>23</v>
      </c>
      <c r="B5" s="0" t="s">
        <v>24</v>
      </c>
      <c r="C5" s="0" t="s">
        <v>25</v>
      </c>
      <c r="D5" s="0" t="s">
        <v>26</v>
      </c>
      <c r="E5" s="0" t="s">
        <v>14</v>
      </c>
      <c r="F5" s="0" t="n">
        <v>4</v>
      </c>
      <c r="I5" s="0" t="n">
        <v>0.0027</v>
      </c>
      <c r="K5" s="0" t="n">
        <f aca="false">F5*I5</f>
        <v>0.0108</v>
      </c>
    </row>
    <row r="6" customFormat="false" ht="12.8" hidden="false" customHeight="false" outlineLevel="0" collapsed="false">
      <c r="A6" s="0" t="s">
        <v>27</v>
      </c>
      <c r="B6" s="0" t="s">
        <v>28</v>
      </c>
      <c r="C6" s="0" t="s">
        <v>29</v>
      </c>
      <c r="D6" s="0" t="s">
        <v>30</v>
      </c>
      <c r="E6" s="0" t="s">
        <v>31</v>
      </c>
      <c r="F6" s="0" t="n">
        <v>5</v>
      </c>
      <c r="I6" s="0" t="n">
        <v>0.0089</v>
      </c>
      <c r="K6" s="0" t="n">
        <f aca="false">F6*I6</f>
        <v>0.0445</v>
      </c>
    </row>
    <row r="7" customFormat="false" ht="12.8" hidden="false" customHeight="false" outlineLevel="0" collapsed="false">
      <c r="A7" s="0" t="s">
        <v>32</v>
      </c>
      <c r="B7" s="0" t="s">
        <v>33</v>
      </c>
      <c r="C7" s="0" t="s">
        <v>34</v>
      </c>
      <c r="D7" s="0" t="s">
        <v>35</v>
      </c>
      <c r="E7" s="0" t="s">
        <v>14</v>
      </c>
      <c r="F7" s="0" t="n">
        <v>21</v>
      </c>
      <c r="I7" s="0" t="n">
        <v>0.0031</v>
      </c>
      <c r="K7" s="0" t="n">
        <f aca="false">F7*I7</f>
        <v>0.0651</v>
      </c>
    </row>
    <row r="8" customFormat="false" ht="12.8" hidden="false" customHeight="false" outlineLevel="0" collapsed="false">
      <c r="A8" s="0" t="s">
        <v>36</v>
      </c>
      <c r="B8" s="0" t="s">
        <v>37</v>
      </c>
      <c r="C8" s="0" t="s">
        <v>38</v>
      </c>
      <c r="D8" s="0" t="s">
        <v>39</v>
      </c>
      <c r="E8" s="0" t="s">
        <v>31</v>
      </c>
      <c r="F8" s="0" t="n">
        <v>18</v>
      </c>
      <c r="I8" s="0" t="n">
        <v>0.0417</v>
      </c>
      <c r="K8" s="0" t="n">
        <f aca="false">F8*I8</f>
        <v>0.7506</v>
      </c>
    </row>
    <row r="9" customFormat="false" ht="12.8" hidden="false" customHeight="false" outlineLevel="0" collapsed="false">
      <c r="A9" s="0" t="s">
        <v>40</v>
      </c>
      <c r="B9" s="0" t="s">
        <v>41</v>
      </c>
      <c r="C9" s="0" t="s">
        <v>42</v>
      </c>
      <c r="D9" s="0" t="s">
        <v>43</v>
      </c>
      <c r="E9" s="0" t="s">
        <v>14</v>
      </c>
      <c r="F9" s="0" t="n">
        <v>4</v>
      </c>
      <c r="I9" s="0" t="n">
        <v>0.0288</v>
      </c>
      <c r="K9" s="0" t="n">
        <f aca="false">F9*I9</f>
        <v>0.1152</v>
      </c>
    </row>
    <row r="10" customFormat="false" ht="12.8" hidden="false" customHeight="false" outlineLevel="0" collapsed="false">
      <c r="A10" s="0" t="s">
        <v>44</v>
      </c>
      <c r="B10" s="0" t="s">
        <v>45</v>
      </c>
      <c r="C10" s="0" t="s">
        <v>46</v>
      </c>
      <c r="D10" s="0" t="s">
        <v>47</v>
      </c>
      <c r="E10" s="0" t="s">
        <v>14</v>
      </c>
      <c r="F10" s="0" t="n">
        <v>7</v>
      </c>
      <c r="I10" s="0" t="n">
        <v>0.001</v>
      </c>
      <c r="K10" s="0" t="n">
        <f aca="false">F10*I10</f>
        <v>0.007</v>
      </c>
    </row>
    <row r="11" customFormat="false" ht="12.8" hidden="false" customHeight="false" outlineLevel="0" collapsed="false">
      <c r="A11" s="0" t="s">
        <v>48</v>
      </c>
      <c r="B11" s="0" t="s">
        <v>49</v>
      </c>
      <c r="C11" s="0" t="s">
        <v>50</v>
      </c>
      <c r="D11" s="0" t="s">
        <v>51</v>
      </c>
      <c r="E11" s="0" t="s">
        <v>14</v>
      </c>
      <c r="F11" s="0" t="n">
        <v>1</v>
      </c>
      <c r="I11" s="0" t="n">
        <v>0.0028</v>
      </c>
      <c r="K11" s="0" t="n">
        <f aca="false">F11*I11</f>
        <v>0.0028</v>
      </c>
    </row>
    <row r="12" customFormat="false" ht="12.8" hidden="false" customHeight="false" outlineLevel="0" collapsed="false">
      <c r="A12" s="0" t="s">
        <v>52</v>
      </c>
      <c r="B12" s="0" t="s">
        <v>16</v>
      </c>
      <c r="C12" s="0" t="s">
        <v>53</v>
      </c>
      <c r="D12" s="0" t="s">
        <v>54</v>
      </c>
      <c r="E12" s="0" t="s">
        <v>14</v>
      </c>
      <c r="F12" s="0" t="n">
        <v>1</v>
      </c>
      <c r="I12" s="1" t="n">
        <v>0.0368</v>
      </c>
      <c r="K12" s="0" t="n">
        <f aca="false">F12*I12</f>
        <v>0.0368</v>
      </c>
    </row>
    <row r="13" customFormat="false" ht="12.8" hidden="false" customHeight="false" outlineLevel="0" collapsed="false">
      <c r="A13" s="0" t="s">
        <v>55</v>
      </c>
      <c r="B13" s="0" t="s">
        <v>28</v>
      </c>
      <c r="C13" s="0" t="s">
        <v>56</v>
      </c>
      <c r="D13" s="0" t="s">
        <v>57</v>
      </c>
      <c r="E13" s="0" t="s">
        <v>58</v>
      </c>
      <c r="F13" s="0" t="n">
        <v>1</v>
      </c>
      <c r="I13" s="1" t="n">
        <v>1.8335</v>
      </c>
      <c r="K13" s="0" t="n">
        <f aca="false">F13*I13</f>
        <v>1.8335</v>
      </c>
    </row>
    <row r="14" customFormat="false" ht="12.8" hidden="false" customHeight="false" outlineLevel="0" collapsed="false">
      <c r="A14" s="0" t="s">
        <v>59</v>
      </c>
      <c r="B14" s="0" t="s">
        <v>60</v>
      </c>
      <c r="C14" s="0" t="s">
        <v>61</v>
      </c>
      <c r="D14" s="0" t="s">
        <v>62</v>
      </c>
      <c r="E14" s="0" t="s">
        <v>14</v>
      </c>
      <c r="F14" s="0" t="n">
        <v>3</v>
      </c>
      <c r="I14" s="1" t="n">
        <v>0.0158</v>
      </c>
      <c r="K14" s="0" t="n">
        <f aca="false">F14*I14</f>
        <v>0.0474</v>
      </c>
    </row>
    <row r="15" customFormat="false" ht="12.8" hidden="false" customHeight="false" outlineLevel="0" collapsed="false">
      <c r="A15" s="0" t="s">
        <v>63</v>
      </c>
      <c r="B15" s="0" t="s">
        <v>64</v>
      </c>
      <c r="C15" s="0" t="s">
        <v>65</v>
      </c>
      <c r="D15" s="0" t="s">
        <v>66</v>
      </c>
      <c r="E15" s="0" t="s">
        <v>14</v>
      </c>
      <c r="F15" s="0" t="n">
        <v>4</v>
      </c>
      <c r="I15" s="0" t="n">
        <v>0.0005</v>
      </c>
      <c r="K15" s="0" t="n">
        <f aca="false">F15*I15</f>
        <v>0.002</v>
      </c>
    </row>
    <row r="16" customFormat="false" ht="12.8" hidden="false" customHeight="false" outlineLevel="0" collapsed="false">
      <c r="A16" s="0" t="s">
        <v>67</v>
      </c>
      <c r="B16" s="0" t="s">
        <v>68</v>
      </c>
      <c r="C16" s="0" t="s">
        <v>69</v>
      </c>
      <c r="D16" s="0" t="s">
        <v>70</v>
      </c>
      <c r="E16" s="0" t="s">
        <v>31</v>
      </c>
      <c r="F16" s="0" t="n">
        <v>1</v>
      </c>
      <c r="I16" s="0" t="n">
        <v>0.0028</v>
      </c>
      <c r="K16" s="0" t="n">
        <f aca="false">F16*I16</f>
        <v>0.0028</v>
      </c>
    </row>
    <row r="17" customFormat="false" ht="12.8" hidden="false" customHeight="false" outlineLevel="0" collapsed="false">
      <c r="A17" s="0" t="s">
        <v>71</v>
      </c>
      <c r="B17" s="0" t="s">
        <v>72</v>
      </c>
      <c r="C17" s="0" t="s">
        <v>73</v>
      </c>
      <c r="D17" s="0" t="s">
        <v>74</v>
      </c>
      <c r="E17" s="0" t="s">
        <v>31</v>
      </c>
      <c r="F17" s="0" t="n">
        <v>3</v>
      </c>
      <c r="I17" s="0" t="n">
        <v>0.0541</v>
      </c>
      <c r="K17" s="0" t="n">
        <f aca="false">F17*I17</f>
        <v>0.1623</v>
      </c>
    </row>
    <row r="18" customFormat="false" ht="12.8" hidden="false" customHeight="false" outlineLevel="0" collapsed="false">
      <c r="A18" s="0" t="s">
        <v>75</v>
      </c>
      <c r="B18" s="0" t="s">
        <v>72</v>
      </c>
      <c r="C18" s="0" t="s">
        <v>76</v>
      </c>
      <c r="D18" s="0" t="s">
        <v>77</v>
      </c>
      <c r="E18" s="0" t="s">
        <v>78</v>
      </c>
      <c r="F18" s="0" t="n">
        <v>1</v>
      </c>
      <c r="I18" s="0" t="n">
        <v>0.2821</v>
      </c>
      <c r="K18" s="0" t="n">
        <f aca="false">F18*I18</f>
        <v>0.2821</v>
      </c>
    </row>
    <row r="19" customFormat="false" ht="12.8" hidden="false" customHeight="false" outlineLevel="0" collapsed="false">
      <c r="A19" s="0" t="s">
        <v>79</v>
      </c>
      <c r="B19" s="0" t="s">
        <v>80</v>
      </c>
      <c r="C19" s="0" t="s">
        <v>81</v>
      </c>
      <c r="D19" s="0" t="s">
        <v>81</v>
      </c>
      <c r="E19" s="0" t="s">
        <v>82</v>
      </c>
      <c r="F19" s="0" t="n">
        <v>4</v>
      </c>
      <c r="I19" s="0" t="n">
        <v>0.3351</v>
      </c>
      <c r="K19" s="0" t="n">
        <f aca="false">F19*I19</f>
        <v>1.3404</v>
      </c>
    </row>
    <row r="20" customFormat="false" ht="12.8" hidden="false" customHeight="false" outlineLevel="0" collapsed="false">
      <c r="A20" s="0" t="s">
        <v>83</v>
      </c>
      <c r="B20" s="0" t="s">
        <v>84</v>
      </c>
      <c r="C20" s="0" t="s">
        <v>85</v>
      </c>
      <c r="D20" s="0" t="s">
        <v>84</v>
      </c>
      <c r="E20" s="0" t="s">
        <v>86</v>
      </c>
      <c r="F20" s="0" t="n">
        <v>2</v>
      </c>
      <c r="I20" s="0" t="n">
        <v>0.7434</v>
      </c>
      <c r="K20" s="0" t="n">
        <f aca="false">F20*I20</f>
        <v>1.4868</v>
      </c>
    </row>
    <row r="21" customFormat="false" ht="12.8" hidden="false" customHeight="false" outlineLevel="0" collapsed="false">
      <c r="A21" s="0" t="s">
        <v>87</v>
      </c>
      <c r="B21" s="0" t="s">
        <v>88</v>
      </c>
      <c r="C21" s="0" t="s">
        <v>81</v>
      </c>
      <c r="D21" s="0" t="s">
        <v>89</v>
      </c>
      <c r="E21" s="0" t="s">
        <v>82</v>
      </c>
      <c r="F21" s="0" t="n">
        <v>5</v>
      </c>
      <c r="I21" s="0" t="n">
        <v>0.3351</v>
      </c>
      <c r="K21" s="0" t="n">
        <f aca="false">F21*I21</f>
        <v>1.6755</v>
      </c>
    </row>
    <row r="22" customFormat="false" ht="12.8" hidden="false" customHeight="false" outlineLevel="0" collapsed="false">
      <c r="A22" s="0" t="s">
        <v>90</v>
      </c>
      <c r="B22" s="0" t="s">
        <v>91</v>
      </c>
      <c r="C22" s="0" t="s">
        <v>92</v>
      </c>
      <c r="D22" s="0" t="s">
        <v>93</v>
      </c>
      <c r="E22" s="0" t="s">
        <v>94</v>
      </c>
      <c r="F22" s="0" t="n">
        <v>3</v>
      </c>
      <c r="I22" s="0" t="n">
        <v>0.0617</v>
      </c>
      <c r="K22" s="0" t="n">
        <f aca="false">F22*I22</f>
        <v>0.1851</v>
      </c>
    </row>
    <row r="23" customFormat="false" ht="12.8" hidden="false" customHeight="false" outlineLevel="0" collapsed="false">
      <c r="A23" s="0" t="s">
        <v>95</v>
      </c>
      <c r="B23" s="0" t="s">
        <v>96</v>
      </c>
      <c r="C23" s="0" t="s">
        <v>97</v>
      </c>
      <c r="D23" s="0" t="s">
        <v>96</v>
      </c>
      <c r="E23" s="0" t="s">
        <v>98</v>
      </c>
      <c r="F23" s="0" t="n">
        <v>2</v>
      </c>
      <c r="I23" s="0" t="n">
        <v>0.1746</v>
      </c>
      <c r="K23" s="0" t="n">
        <f aca="false">F23*I23</f>
        <v>0.3492</v>
      </c>
    </row>
    <row r="24" customFormat="false" ht="12.8" hidden="false" customHeight="false" outlineLevel="0" collapsed="false">
      <c r="A24" s="0" t="s">
        <v>99</v>
      </c>
      <c r="B24" s="0" t="s">
        <v>100</v>
      </c>
      <c r="C24" s="0" t="s">
        <v>101</v>
      </c>
      <c r="D24" s="0" t="s">
        <v>100</v>
      </c>
      <c r="E24" s="0" t="s">
        <v>102</v>
      </c>
      <c r="F24" s="0" t="n">
        <v>1</v>
      </c>
      <c r="I24" s="0" t="n">
        <v>0.8121</v>
      </c>
      <c r="K24" s="0" t="n">
        <f aca="false">F24*I24</f>
        <v>0.8121</v>
      </c>
    </row>
    <row r="25" customFormat="false" ht="12.8" hidden="false" customHeight="false" outlineLevel="0" collapsed="false">
      <c r="A25" s="0" t="s">
        <v>103</v>
      </c>
      <c r="B25" s="0" t="s">
        <v>104</v>
      </c>
      <c r="C25" s="0" t="s">
        <v>105</v>
      </c>
      <c r="D25" s="0" t="s">
        <v>106</v>
      </c>
      <c r="E25" s="0" t="s">
        <v>107</v>
      </c>
      <c r="F25" s="0" t="n">
        <v>1</v>
      </c>
      <c r="I25" s="0" t="n">
        <v>0.0778</v>
      </c>
      <c r="K25" s="0" t="n">
        <f aca="false">F25*I25</f>
        <v>0.0778</v>
      </c>
    </row>
    <row r="26" customFormat="false" ht="12.8" hidden="false" customHeight="false" outlineLevel="0" collapsed="false">
      <c r="A26" s="0" t="s">
        <v>108</v>
      </c>
      <c r="B26" s="0" t="s">
        <v>109</v>
      </c>
      <c r="C26" s="0" t="s">
        <v>110</v>
      </c>
      <c r="D26" s="0" t="s">
        <v>111</v>
      </c>
      <c r="E26" s="0" t="s">
        <v>107</v>
      </c>
      <c r="F26" s="0" t="n">
        <v>1</v>
      </c>
      <c r="I26" s="0" t="n">
        <v>0.0562</v>
      </c>
      <c r="K26" s="0" t="n">
        <f aca="false">F26*I26</f>
        <v>0.0562</v>
      </c>
    </row>
    <row r="27" customFormat="false" ht="12.8" hidden="false" customHeight="false" outlineLevel="0" collapsed="false">
      <c r="A27" s="0" t="s">
        <v>112</v>
      </c>
      <c r="B27" s="0" t="s">
        <v>113</v>
      </c>
      <c r="C27" s="0" t="s">
        <v>114</v>
      </c>
      <c r="D27" s="0" t="s">
        <v>115</v>
      </c>
      <c r="E27" s="0" t="s">
        <v>116</v>
      </c>
      <c r="F27" s="0" t="n">
        <v>1</v>
      </c>
      <c r="I27" s="0" t="n">
        <v>0.0357</v>
      </c>
      <c r="K27" s="0" t="n">
        <f aca="false">F27*I27</f>
        <v>0.0357</v>
      </c>
    </row>
    <row r="28" customFormat="false" ht="12.8" hidden="false" customHeight="false" outlineLevel="0" collapsed="false">
      <c r="A28" s="0" t="s">
        <v>117</v>
      </c>
      <c r="B28" s="0" t="s">
        <v>118</v>
      </c>
      <c r="C28" s="0" t="s">
        <v>119</v>
      </c>
      <c r="D28" s="0" t="s">
        <v>120</v>
      </c>
      <c r="E28" s="0" t="s">
        <v>121</v>
      </c>
      <c r="F28" s="0" t="n">
        <v>4</v>
      </c>
      <c r="I28" s="0" t="n">
        <v>0.0108</v>
      </c>
      <c r="K28" s="0" t="n">
        <f aca="false">F28*I28</f>
        <v>0.0432</v>
      </c>
    </row>
    <row r="29" customFormat="false" ht="12.8" hidden="false" customHeight="false" outlineLevel="0" collapsed="false">
      <c r="A29" s="0" t="s">
        <v>122</v>
      </c>
      <c r="B29" s="0" t="s">
        <v>123</v>
      </c>
      <c r="C29" s="0" t="s">
        <v>124</v>
      </c>
      <c r="D29" s="0" t="s">
        <v>123</v>
      </c>
      <c r="E29" s="0" t="s">
        <v>125</v>
      </c>
      <c r="F29" s="0" t="n">
        <v>4</v>
      </c>
      <c r="I29" s="0" t="n">
        <v>0.3094</v>
      </c>
      <c r="K29" s="0" t="n">
        <f aca="false">F29*I29</f>
        <v>1.2376</v>
      </c>
    </row>
    <row r="30" customFormat="false" ht="12.8" hidden="false" customHeight="false" outlineLevel="0" collapsed="false">
      <c r="A30" s="0" t="s">
        <v>126</v>
      </c>
      <c r="B30" s="0" t="s">
        <v>127</v>
      </c>
      <c r="C30" s="0" t="s">
        <v>128</v>
      </c>
      <c r="D30" s="0" t="s">
        <v>129</v>
      </c>
      <c r="E30" s="0" t="s">
        <v>121</v>
      </c>
      <c r="F30" s="0" t="n">
        <v>1</v>
      </c>
      <c r="I30" s="0" t="n">
        <v>0.0254</v>
      </c>
      <c r="K30" s="0" t="n">
        <f aca="false">F30*I30</f>
        <v>0.0254</v>
      </c>
    </row>
    <row r="31" customFormat="false" ht="12.8" hidden="false" customHeight="false" outlineLevel="0" collapsed="false">
      <c r="A31" s="0" t="s">
        <v>130</v>
      </c>
      <c r="B31" s="0" t="s">
        <v>131</v>
      </c>
      <c r="C31" s="0" t="s">
        <v>132</v>
      </c>
      <c r="D31" s="0" t="s">
        <v>133</v>
      </c>
      <c r="E31" s="0" t="s">
        <v>134</v>
      </c>
      <c r="F31" s="0" t="n">
        <v>1</v>
      </c>
      <c r="I31" s="0" t="n">
        <v>0.0274</v>
      </c>
      <c r="K31" s="0" t="n">
        <f aca="false">F31*I31</f>
        <v>0.0274</v>
      </c>
    </row>
    <row r="32" customFormat="false" ht="12.8" hidden="false" customHeight="false" outlineLevel="0" collapsed="false">
      <c r="A32" s="0" t="s">
        <v>135</v>
      </c>
      <c r="B32" s="0" t="s">
        <v>136</v>
      </c>
      <c r="C32" s="0" t="s">
        <v>137</v>
      </c>
      <c r="D32" s="0" t="s">
        <v>138</v>
      </c>
      <c r="E32" s="0" t="s">
        <v>139</v>
      </c>
      <c r="F32" s="0" t="n">
        <v>1</v>
      </c>
      <c r="I32" s="0" t="n">
        <v>0.0007</v>
      </c>
      <c r="K32" s="0" t="n">
        <f aca="false">F32*I32</f>
        <v>0.0007</v>
      </c>
    </row>
    <row r="33" customFormat="false" ht="12.8" hidden="false" customHeight="false" outlineLevel="0" collapsed="false">
      <c r="A33" s="0" t="s">
        <v>140</v>
      </c>
      <c r="B33" s="0" t="s">
        <v>141</v>
      </c>
      <c r="C33" s="0" t="s">
        <v>142</v>
      </c>
      <c r="D33" s="0" t="s">
        <v>143</v>
      </c>
      <c r="E33" s="0" t="s">
        <v>139</v>
      </c>
      <c r="F33" s="0" t="n">
        <v>18</v>
      </c>
      <c r="I33" s="0" t="n">
        <v>0.0006</v>
      </c>
      <c r="K33" s="0" t="n">
        <f aca="false">F33*I33</f>
        <v>0.0108</v>
      </c>
    </row>
    <row r="34" customFormat="false" ht="12.8" hidden="false" customHeight="false" outlineLevel="0" collapsed="false">
      <c r="A34" s="0" t="s">
        <v>144</v>
      </c>
      <c r="B34" s="0" t="s">
        <v>145</v>
      </c>
      <c r="C34" s="0" t="s">
        <v>146</v>
      </c>
      <c r="D34" s="0" t="s">
        <v>147</v>
      </c>
      <c r="E34" s="0" t="s">
        <v>139</v>
      </c>
      <c r="F34" s="0" t="n">
        <v>2</v>
      </c>
      <c r="I34" s="0" t="n">
        <v>0.0007</v>
      </c>
      <c r="K34" s="0" t="n">
        <f aca="false">F34*I34</f>
        <v>0.0014</v>
      </c>
    </row>
    <row r="35" customFormat="false" ht="12.8" hidden="false" customHeight="false" outlineLevel="0" collapsed="false">
      <c r="A35" s="0" t="s">
        <v>148</v>
      </c>
      <c r="B35" s="0" t="s">
        <v>149</v>
      </c>
      <c r="C35" s="0" t="s">
        <v>150</v>
      </c>
      <c r="D35" s="0" t="s">
        <v>151</v>
      </c>
      <c r="E35" s="0" t="s">
        <v>139</v>
      </c>
      <c r="F35" s="0" t="n">
        <v>7</v>
      </c>
      <c r="I35" s="0" t="n">
        <v>0.0006</v>
      </c>
      <c r="K35" s="0" t="n">
        <f aca="false">F35*I35</f>
        <v>0.0042</v>
      </c>
    </row>
    <row r="36" customFormat="false" ht="12.8" hidden="false" customHeight="false" outlineLevel="0" collapsed="false">
      <c r="A36" s="0" t="s">
        <v>152</v>
      </c>
      <c r="B36" s="0" t="s">
        <v>153</v>
      </c>
      <c r="C36" s="0" t="s">
        <v>154</v>
      </c>
      <c r="D36" s="0" t="s">
        <v>155</v>
      </c>
      <c r="E36" s="0" t="s">
        <v>139</v>
      </c>
      <c r="F36" s="0" t="n">
        <v>4</v>
      </c>
      <c r="I36" s="0" t="n">
        <v>0.0007</v>
      </c>
      <c r="K36" s="0" t="n">
        <f aca="false">F36*I36</f>
        <v>0.0028</v>
      </c>
    </row>
    <row r="37" customFormat="false" ht="12.8" hidden="false" customHeight="false" outlineLevel="0" collapsed="false">
      <c r="A37" s="0" t="s">
        <v>156</v>
      </c>
      <c r="B37" s="0" t="s">
        <v>157</v>
      </c>
      <c r="C37" s="0" t="s">
        <v>158</v>
      </c>
      <c r="D37" s="0" t="s">
        <v>159</v>
      </c>
      <c r="E37" s="0" t="s">
        <v>139</v>
      </c>
      <c r="F37" s="0" t="n">
        <v>1</v>
      </c>
      <c r="I37" s="0" t="n">
        <v>0.0007</v>
      </c>
      <c r="K37" s="0" t="n">
        <f aca="false">F37*I37</f>
        <v>0.0007</v>
      </c>
    </row>
    <row r="38" customFormat="false" ht="12.8" hidden="false" customHeight="false" outlineLevel="0" collapsed="false">
      <c r="A38" s="0" t="s">
        <v>160</v>
      </c>
      <c r="B38" s="0" t="s">
        <v>161</v>
      </c>
      <c r="C38" s="0" t="s">
        <v>162</v>
      </c>
      <c r="D38" s="0" t="s">
        <v>163</v>
      </c>
      <c r="E38" s="0" t="s">
        <v>139</v>
      </c>
      <c r="F38" s="0" t="n">
        <v>7</v>
      </c>
      <c r="I38" s="0" t="n">
        <v>0.0006</v>
      </c>
      <c r="K38" s="0" t="n">
        <f aca="false">F38*I38</f>
        <v>0.0042</v>
      </c>
    </row>
    <row r="39" customFormat="false" ht="12.8" hidden="false" customHeight="false" outlineLevel="0" collapsed="false">
      <c r="A39" s="0" t="s">
        <v>164</v>
      </c>
      <c r="B39" s="0" t="s">
        <v>165</v>
      </c>
      <c r="C39" s="0" t="s">
        <v>166</v>
      </c>
      <c r="D39" s="0" t="s">
        <v>167</v>
      </c>
      <c r="E39" s="0" t="s">
        <v>139</v>
      </c>
      <c r="F39" s="0" t="n">
        <v>1</v>
      </c>
      <c r="I39" s="0" t="n">
        <v>0.0006</v>
      </c>
      <c r="K39" s="0" t="n">
        <f aca="false">F39*I39</f>
        <v>0.0006</v>
      </c>
    </row>
    <row r="40" customFormat="false" ht="12.8" hidden="false" customHeight="false" outlineLevel="0" collapsed="false">
      <c r="A40" s="0" t="s">
        <v>168</v>
      </c>
      <c r="B40" s="0" t="n">
        <v>49.9</v>
      </c>
      <c r="C40" s="0" t="s">
        <v>169</v>
      </c>
      <c r="D40" s="0" t="s">
        <v>170</v>
      </c>
      <c r="E40" s="0" t="s">
        <v>139</v>
      </c>
      <c r="F40" s="0" t="n">
        <v>4</v>
      </c>
      <c r="I40" s="0" t="n">
        <v>0.0006</v>
      </c>
      <c r="K40" s="0" t="n">
        <f aca="false">F40*I40</f>
        <v>0.0024</v>
      </c>
    </row>
    <row r="41" customFormat="false" ht="12.8" hidden="false" customHeight="false" outlineLevel="0" collapsed="false">
      <c r="A41" s="0" t="s">
        <v>171</v>
      </c>
      <c r="B41" s="0" t="s">
        <v>172</v>
      </c>
      <c r="C41" s="0" t="s">
        <v>173</v>
      </c>
      <c r="D41" s="0" t="s">
        <v>174</v>
      </c>
      <c r="E41" s="0" t="s">
        <v>139</v>
      </c>
      <c r="F41" s="0" t="n">
        <v>1</v>
      </c>
      <c r="I41" s="0" t="n">
        <v>0.0006</v>
      </c>
      <c r="K41" s="0" t="n">
        <f aca="false">F41*I41</f>
        <v>0.0006</v>
      </c>
    </row>
    <row r="42" customFormat="false" ht="12.8" hidden="false" customHeight="false" outlineLevel="0" collapsed="false">
      <c r="A42" s="0" t="s">
        <v>175</v>
      </c>
      <c r="B42" s="0" t="n">
        <v>402</v>
      </c>
      <c r="C42" s="0" t="s">
        <v>176</v>
      </c>
      <c r="D42" s="0" t="s">
        <v>177</v>
      </c>
      <c r="E42" s="0" t="s">
        <v>139</v>
      </c>
      <c r="F42" s="0" t="n">
        <v>1</v>
      </c>
      <c r="I42" s="0" t="n">
        <v>0.0007</v>
      </c>
      <c r="K42" s="0" t="n">
        <f aca="false">F42*I42</f>
        <v>0.0007</v>
      </c>
    </row>
    <row r="43" customFormat="false" ht="12.8" hidden="false" customHeight="false" outlineLevel="0" collapsed="false">
      <c r="A43" s="0" t="s">
        <v>178</v>
      </c>
      <c r="B43" s="0" t="n">
        <v>10</v>
      </c>
      <c r="C43" s="0" t="s">
        <v>179</v>
      </c>
      <c r="D43" s="0" t="s">
        <v>180</v>
      </c>
      <c r="E43" s="0" t="s">
        <v>139</v>
      </c>
      <c r="F43" s="0" t="n">
        <v>2</v>
      </c>
      <c r="I43" s="0" t="n">
        <v>0.0005</v>
      </c>
      <c r="K43" s="0" t="n">
        <f aca="false">F43*I43</f>
        <v>0.001</v>
      </c>
    </row>
    <row r="44" customFormat="false" ht="12.8" hidden="false" customHeight="false" outlineLevel="0" collapsed="false">
      <c r="A44" s="0" t="s">
        <v>181</v>
      </c>
      <c r="B44" s="0" t="n">
        <v>100</v>
      </c>
      <c r="C44" s="0" t="s">
        <v>182</v>
      </c>
      <c r="D44" s="0" t="s">
        <v>183</v>
      </c>
      <c r="E44" s="0" t="s">
        <v>139</v>
      </c>
      <c r="F44" s="0" t="n">
        <v>2</v>
      </c>
      <c r="I44" s="0" t="n">
        <v>0.0007</v>
      </c>
      <c r="K44" s="0" t="n">
        <f aca="false">F44*I44</f>
        <v>0.0014</v>
      </c>
    </row>
    <row r="45" customFormat="false" ht="12.8" hidden="false" customHeight="false" outlineLevel="0" collapsed="false">
      <c r="A45" s="0" t="s">
        <v>184</v>
      </c>
      <c r="B45" s="0" t="n">
        <v>0.05</v>
      </c>
      <c r="C45" s="0" t="s">
        <v>185</v>
      </c>
      <c r="D45" s="0" t="s">
        <v>186</v>
      </c>
      <c r="E45" s="0" t="s">
        <v>139</v>
      </c>
      <c r="F45" s="0" t="n">
        <v>1</v>
      </c>
      <c r="I45" s="0" t="n">
        <v>0.0377</v>
      </c>
      <c r="K45" s="0" t="n">
        <f aca="false">F45*I45</f>
        <v>0.0377</v>
      </c>
    </row>
    <row r="46" customFormat="false" ht="12.8" hidden="false" customHeight="false" outlineLevel="0" collapsed="false">
      <c r="A46" s="0" t="s">
        <v>187</v>
      </c>
      <c r="B46" s="0" t="n">
        <v>150</v>
      </c>
      <c r="C46" s="0" t="s">
        <v>188</v>
      </c>
      <c r="D46" s="0" t="s">
        <v>189</v>
      </c>
      <c r="E46" s="0" t="s">
        <v>139</v>
      </c>
      <c r="F46" s="0" t="n">
        <v>3</v>
      </c>
      <c r="I46" s="0" t="n">
        <v>0.0007</v>
      </c>
      <c r="K46" s="0" t="n">
        <f aca="false">F46*I46</f>
        <v>0.0021</v>
      </c>
    </row>
    <row r="47" customFormat="false" ht="12.8" hidden="false" customHeight="false" outlineLevel="0" collapsed="false">
      <c r="A47" s="0" t="s">
        <v>190</v>
      </c>
      <c r="B47" s="0" t="n">
        <v>365</v>
      </c>
      <c r="C47" s="0" t="s">
        <v>191</v>
      </c>
      <c r="D47" s="0" t="s">
        <v>192</v>
      </c>
      <c r="E47" s="0" t="s">
        <v>139</v>
      </c>
      <c r="F47" s="0" t="n">
        <v>1</v>
      </c>
      <c r="I47" s="0" t="n">
        <v>0.0006</v>
      </c>
      <c r="K47" s="0" t="n">
        <f aca="false">F47*I47</f>
        <v>0.0006</v>
      </c>
    </row>
    <row r="48" customFormat="false" ht="12.8" hidden="false" customHeight="false" outlineLevel="0" collapsed="false">
      <c r="A48" s="0" t="s">
        <v>193</v>
      </c>
      <c r="B48" s="0" t="n">
        <v>0</v>
      </c>
      <c r="C48" s="0" t="s">
        <v>194</v>
      </c>
      <c r="D48" s="0" t="s">
        <v>195</v>
      </c>
      <c r="E48" s="0" t="s">
        <v>139</v>
      </c>
      <c r="F48" s="0" t="n">
        <v>4</v>
      </c>
      <c r="I48" s="0" t="n">
        <v>0.0006</v>
      </c>
      <c r="K48" s="0" t="n">
        <f aca="false">F48*I48</f>
        <v>0.0024</v>
      </c>
    </row>
    <row r="49" customFormat="false" ht="12.8" hidden="false" customHeight="false" outlineLevel="0" collapsed="false">
      <c r="A49" s="0" t="s">
        <v>196</v>
      </c>
      <c r="B49" s="0" t="s">
        <v>197</v>
      </c>
      <c r="C49" s="0" t="s">
        <v>198</v>
      </c>
      <c r="D49" s="0" t="s">
        <v>199</v>
      </c>
      <c r="E49" s="0" t="s">
        <v>139</v>
      </c>
      <c r="F49" s="0" t="n">
        <v>1</v>
      </c>
      <c r="I49" s="0" t="n">
        <v>0.0007</v>
      </c>
      <c r="K49" s="0" t="n">
        <f aca="false">F49*I49</f>
        <v>0.0007</v>
      </c>
    </row>
    <row r="50" customFormat="false" ht="12.8" hidden="false" customHeight="false" outlineLevel="0" collapsed="false">
      <c r="A50" s="0" t="s">
        <v>200</v>
      </c>
      <c r="B50" s="0" t="s">
        <v>201</v>
      </c>
      <c r="C50" s="0" t="s">
        <v>202</v>
      </c>
      <c r="D50" s="0" t="s">
        <v>203</v>
      </c>
      <c r="E50" s="0" t="s">
        <v>139</v>
      </c>
      <c r="F50" s="0" t="n">
        <v>6</v>
      </c>
      <c r="I50" s="0" t="n">
        <v>0.0007</v>
      </c>
      <c r="K50" s="0" t="n">
        <f aca="false">F50*I50</f>
        <v>0.0042</v>
      </c>
    </row>
    <row r="51" customFormat="false" ht="12.8" hidden="false" customHeight="false" outlineLevel="0" collapsed="false">
      <c r="A51" s="0" t="s">
        <v>204</v>
      </c>
      <c r="B51" s="0" t="n">
        <v>2.49</v>
      </c>
      <c r="C51" s="0" t="s">
        <v>205</v>
      </c>
      <c r="D51" s="0" t="s">
        <v>206</v>
      </c>
      <c r="E51" s="0" t="s">
        <v>139</v>
      </c>
      <c r="F51" s="0" t="n">
        <v>1</v>
      </c>
      <c r="I51" s="0" t="n">
        <v>0.0115</v>
      </c>
      <c r="K51" s="0" t="n">
        <f aca="false">F51*I51</f>
        <v>0.0115</v>
      </c>
    </row>
    <row r="52" customFormat="false" ht="12.8" hidden="false" customHeight="false" outlineLevel="0" collapsed="false">
      <c r="A52" s="0" t="s">
        <v>207</v>
      </c>
      <c r="B52" s="0" t="s">
        <v>208</v>
      </c>
      <c r="C52" s="0" t="s">
        <v>209</v>
      </c>
      <c r="D52" s="0" t="s">
        <v>210</v>
      </c>
      <c r="E52" s="0" t="s">
        <v>139</v>
      </c>
      <c r="F52" s="0" t="n">
        <v>1</v>
      </c>
      <c r="I52" s="0" t="n">
        <v>0.0005</v>
      </c>
      <c r="K52" s="0" t="n">
        <f aca="false">F52*I52</f>
        <v>0.0005</v>
      </c>
    </row>
    <row r="53" customFormat="false" ht="12.8" hidden="false" customHeight="false" outlineLevel="0" collapsed="false">
      <c r="A53" s="0" t="s">
        <v>211</v>
      </c>
      <c r="B53" s="0" t="n">
        <v>0.01</v>
      </c>
      <c r="C53" s="0" t="s">
        <v>212</v>
      </c>
      <c r="D53" s="0" t="s">
        <v>213</v>
      </c>
      <c r="E53" s="0" t="s">
        <v>139</v>
      </c>
      <c r="F53" s="0" t="n">
        <v>2</v>
      </c>
      <c r="I53" s="0" t="n">
        <v>0.0007</v>
      </c>
      <c r="K53" s="0" t="n">
        <f aca="false">F53*I53</f>
        <v>0.0014</v>
      </c>
    </row>
    <row r="54" customFormat="false" ht="12.8" hidden="false" customHeight="false" outlineLevel="0" collapsed="false">
      <c r="A54" s="0" t="s">
        <v>214</v>
      </c>
      <c r="B54" s="0" t="s">
        <v>215</v>
      </c>
      <c r="C54" s="0" t="s">
        <v>216</v>
      </c>
      <c r="D54" s="0" t="s">
        <v>217</v>
      </c>
      <c r="E54" s="0" t="s">
        <v>218</v>
      </c>
      <c r="F54" s="0" t="n">
        <v>1</v>
      </c>
      <c r="I54" s="0" t="n">
        <v>0.001</v>
      </c>
      <c r="K54" s="0" t="n">
        <f aca="false">F54*I54</f>
        <v>0.001</v>
      </c>
    </row>
    <row r="55" customFormat="false" ht="12.8" hidden="false" customHeight="false" outlineLevel="0" collapsed="false">
      <c r="A55" s="0" t="s">
        <v>219</v>
      </c>
      <c r="B55" s="0" t="s">
        <v>220</v>
      </c>
      <c r="C55" s="0" t="s">
        <v>221</v>
      </c>
      <c r="D55" s="0" t="s">
        <v>222</v>
      </c>
      <c r="E55" s="0" t="s">
        <v>218</v>
      </c>
      <c r="F55" s="0" t="n">
        <v>1</v>
      </c>
      <c r="I55" s="0" t="n">
        <v>0.0086</v>
      </c>
      <c r="K55" s="0" t="n">
        <f aca="false">F55*I55</f>
        <v>0.0086</v>
      </c>
    </row>
    <row r="56" customFormat="false" ht="12.8" hidden="false" customHeight="false" outlineLevel="0" collapsed="false">
      <c r="A56" s="0" t="s">
        <v>223</v>
      </c>
      <c r="B56" s="0" t="s">
        <v>224</v>
      </c>
      <c r="C56" s="0" t="s">
        <v>225</v>
      </c>
      <c r="D56" s="0" t="s">
        <v>226</v>
      </c>
      <c r="E56" s="0" t="s">
        <v>139</v>
      </c>
      <c r="F56" s="0" t="n">
        <v>1</v>
      </c>
      <c r="I56" s="0" t="n">
        <v>0.0007</v>
      </c>
      <c r="K56" s="0" t="n">
        <f aca="false">F56*I56</f>
        <v>0.0007</v>
      </c>
    </row>
    <row r="57" customFormat="false" ht="12.8" hidden="false" customHeight="false" outlineLevel="0" collapsed="false">
      <c r="A57" s="0" t="s">
        <v>227</v>
      </c>
      <c r="B57" s="0" t="s">
        <v>228</v>
      </c>
      <c r="C57" s="0" t="s">
        <v>229</v>
      </c>
      <c r="D57" s="0" t="s">
        <v>230</v>
      </c>
      <c r="E57" s="0" t="s">
        <v>139</v>
      </c>
      <c r="F57" s="0" t="n">
        <v>1</v>
      </c>
      <c r="I57" s="0" t="n">
        <v>0.0006</v>
      </c>
      <c r="K57" s="0" t="n">
        <f aca="false">F57*I57</f>
        <v>0.0006</v>
      </c>
    </row>
    <row r="58" customFormat="false" ht="12.8" hidden="false" customHeight="false" outlineLevel="0" collapsed="false">
      <c r="A58" s="0" t="s">
        <v>231</v>
      </c>
      <c r="B58" s="0" t="s">
        <v>232</v>
      </c>
      <c r="C58" s="0" t="s">
        <v>233</v>
      </c>
      <c r="D58" s="0" t="s">
        <v>234</v>
      </c>
      <c r="E58" s="0" t="s">
        <v>139</v>
      </c>
      <c r="F58" s="0" t="n">
        <v>2</v>
      </c>
      <c r="I58" s="0" t="n">
        <v>0.0007</v>
      </c>
      <c r="K58" s="0" t="n">
        <f aca="false">F58*I58</f>
        <v>0.0014</v>
      </c>
    </row>
    <row r="59" customFormat="false" ht="12.8" hidden="false" customHeight="false" outlineLevel="0" collapsed="false">
      <c r="A59" s="0" t="s">
        <v>235</v>
      </c>
      <c r="B59" s="0" t="s">
        <v>236</v>
      </c>
      <c r="C59" s="0" t="s">
        <v>237</v>
      </c>
      <c r="D59" s="0" t="s">
        <v>238</v>
      </c>
      <c r="E59" s="0" t="s">
        <v>139</v>
      </c>
      <c r="F59" s="0" t="n">
        <v>2</v>
      </c>
      <c r="I59" s="0" t="n">
        <v>0.0007</v>
      </c>
      <c r="K59" s="0" t="n">
        <f aca="false">F59*I59</f>
        <v>0.0014</v>
      </c>
    </row>
    <row r="60" customFormat="false" ht="12.8" hidden="false" customHeight="false" outlineLevel="0" collapsed="false">
      <c r="A60" s="0" t="s">
        <v>239</v>
      </c>
      <c r="B60" s="0" t="s">
        <v>240</v>
      </c>
      <c r="C60" s="0" t="s">
        <v>241</v>
      </c>
      <c r="D60" s="0" t="s">
        <v>242</v>
      </c>
      <c r="E60" s="0" t="s">
        <v>139</v>
      </c>
      <c r="F60" s="0" t="n">
        <v>2</v>
      </c>
      <c r="I60" s="0" t="n">
        <v>0.0006</v>
      </c>
      <c r="K60" s="0" t="n">
        <f aca="false">F60*I60</f>
        <v>0.0012</v>
      </c>
    </row>
    <row r="61" customFormat="false" ht="12.8" hidden="false" customHeight="false" outlineLevel="0" collapsed="false">
      <c r="A61" s="0" t="s">
        <v>243</v>
      </c>
      <c r="B61" s="0" t="s">
        <v>244</v>
      </c>
      <c r="C61" s="0" t="s">
        <v>245</v>
      </c>
      <c r="D61" s="0" t="s">
        <v>246</v>
      </c>
      <c r="E61" s="0" t="s">
        <v>139</v>
      </c>
      <c r="F61" s="0" t="n">
        <v>4</v>
      </c>
      <c r="I61" s="0" t="n">
        <v>0.0006</v>
      </c>
      <c r="K61" s="0" t="n">
        <f aca="false">F61*I61</f>
        <v>0.0024</v>
      </c>
    </row>
    <row r="62" customFormat="false" ht="12.8" hidden="false" customHeight="false" outlineLevel="0" collapsed="false">
      <c r="A62" s="0" t="s">
        <v>247</v>
      </c>
      <c r="B62" s="0" t="s">
        <v>248</v>
      </c>
      <c r="C62" s="0" t="s">
        <v>249</v>
      </c>
      <c r="D62" s="0" t="s">
        <v>250</v>
      </c>
      <c r="E62" s="0" t="s">
        <v>139</v>
      </c>
      <c r="F62" s="0" t="n">
        <v>1</v>
      </c>
      <c r="I62" s="0" t="n">
        <v>0.0006</v>
      </c>
      <c r="K62" s="0" t="n">
        <f aca="false">F62*I62</f>
        <v>0.0006</v>
      </c>
    </row>
    <row r="63" customFormat="false" ht="12.8" hidden="false" customHeight="false" outlineLevel="0" collapsed="false">
      <c r="A63" s="0" t="s">
        <v>251</v>
      </c>
      <c r="B63" s="0" t="s">
        <v>252</v>
      </c>
      <c r="C63" s="0" t="s">
        <v>253</v>
      </c>
      <c r="D63" s="0" t="s">
        <v>254</v>
      </c>
      <c r="E63" s="0" t="s">
        <v>139</v>
      </c>
      <c r="F63" s="0" t="n">
        <v>1</v>
      </c>
      <c r="I63" s="0" t="n">
        <v>0.0007</v>
      </c>
      <c r="K63" s="0" t="n">
        <f aca="false">F63*I63</f>
        <v>0.0007</v>
      </c>
    </row>
    <row r="64" customFormat="false" ht="12.8" hidden="false" customHeight="false" outlineLevel="0" collapsed="false">
      <c r="A64" s="0" t="s">
        <v>255</v>
      </c>
      <c r="B64" s="0" t="s">
        <v>256</v>
      </c>
      <c r="C64" s="0" t="s">
        <v>257</v>
      </c>
      <c r="D64" s="0" t="s">
        <v>258</v>
      </c>
      <c r="E64" s="0" t="s">
        <v>218</v>
      </c>
      <c r="F64" s="0" t="n">
        <v>2</v>
      </c>
      <c r="I64" s="0" t="n">
        <v>0.0197</v>
      </c>
      <c r="K64" s="0" t="n">
        <f aca="false">F64*I64</f>
        <v>0.0394</v>
      </c>
    </row>
    <row r="65" customFormat="false" ht="12.8" hidden="false" customHeight="false" outlineLevel="0" collapsed="false">
      <c r="A65" s="0" t="s">
        <v>259</v>
      </c>
      <c r="B65" s="0" t="n">
        <v>0.1</v>
      </c>
      <c r="C65" s="0" t="s">
        <v>260</v>
      </c>
      <c r="D65" s="0" t="s">
        <v>261</v>
      </c>
      <c r="E65" s="0" t="s">
        <v>139</v>
      </c>
      <c r="F65" s="0" t="n">
        <v>2</v>
      </c>
      <c r="I65" s="0" t="n">
        <v>0.0025</v>
      </c>
      <c r="K65" s="0" t="n">
        <f aca="false">F65*I65</f>
        <v>0.005</v>
      </c>
    </row>
    <row r="66" customFormat="false" ht="12.8" hidden="false" customHeight="false" outlineLevel="0" collapsed="false">
      <c r="A66" s="0" t="s">
        <v>262</v>
      </c>
      <c r="B66" s="0" t="s">
        <v>263</v>
      </c>
      <c r="C66" s="0" t="s">
        <v>166</v>
      </c>
      <c r="D66" s="0" t="s">
        <v>167</v>
      </c>
      <c r="E66" s="0" t="s">
        <v>139</v>
      </c>
      <c r="F66" s="0" t="n">
        <v>1</v>
      </c>
      <c r="I66" s="0" t="n">
        <v>0.0006</v>
      </c>
      <c r="K66" s="0" t="n">
        <f aca="false">F66*I66</f>
        <v>0.0006</v>
      </c>
    </row>
    <row r="67" customFormat="false" ht="12.8" hidden="false" customHeight="false" outlineLevel="0" collapsed="false">
      <c r="A67" s="0" t="s">
        <v>264</v>
      </c>
      <c r="B67" s="0" t="s">
        <v>265</v>
      </c>
      <c r="C67" s="0" t="s">
        <v>266</v>
      </c>
      <c r="D67" s="0" t="s">
        <v>267</v>
      </c>
      <c r="E67" s="0" t="s">
        <v>268</v>
      </c>
      <c r="F67" s="0" t="n">
        <v>1</v>
      </c>
      <c r="I67" s="0" t="n">
        <v>0.1634</v>
      </c>
      <c r="K67" s="0" t="n">
        <f aca="false">F67*I67</f>
        <v>0.1634</v>
      </c>
    </row>
    <row r="68" customFormat="false" ht="12.8" hidden="false" customHeight="false" outlineLevel="0" collapsed="false">
      <c r="A68" s="0" t="s">
        <v>269</v>
      </c>
      <c r="B68" s="0" t="s">
        <v>270</v>
      </c>
      <c r="C68" s="0" t="s">
        <v>271</v>
      </c>
      <c r="D68" s="0" t="s">
        <v>272</v>
      </c>
      <c r="E68" s="0" t="s">
        <v>273</v>
      </c>
      <c r="F68" s="0" t="n">
        <v>1</v>
      </c>
      <c r="I68" s="0" t="n">
        <v>0.3837</v>
      </c>
      <c r="K68" s="0" t="n">
        <f aca="false">F68*I68</f>
        <v>0.3837</v>
      </c>
    </row>
    <row r="69" customFormat="false" ht="12.8" hidden="false" customHeight="false" outlineLevel="0" collapsed="false">
      <c r="A69" s="0" t="s">
        <v>274</v>
      </c>
      <c r="B69" s="0" t="s">
        <v>275</v>
      </c>
      <c r="C69" s="0" t="s">
        <v>276</v>
      </c>
      <c r="D69" s="0" t="s">
        <v>275</v>
      </c>
      <c r="E69" s="0" t="s">
        <v>121</v>
      </c>
      <c r="F69" s="0" t="n">
        <v>1</v>
      </c>
      <c r="I69" s="0" t="n">
        <v>0.1433</v>
      </c>
      <c r="K69" s="0" t="n">
        <f aca="false">F69*I69</f>
        <v>0.1433</v>
      </c>
    </row>
    <row r="70" customFormat="false" ht="12.8" hidden="false" customHeight="false" outlineLevel="0" collapsed="false">
      <c r="A70" s="0" t="s">
        <v>277</v>
      </c>
      <c r="B70" s="0" t="s">
        <v>278</v>
      </c>
      <c r="C70" s="0" t="s">
        <v>279</v>
      </c>
      <c r="D70" s="0" t="s">
        <v>278</v>
      </c>
      <c r="E70" s="0" t="s">
        <v>280</v>
      </c>
      <c r="F70" s="0" t="n">
        <v>1</v>
      </c>
      <c r="I70" s="0" t="n">
        <v>3.8478</v>
      </c>
      <c r="K70" s="0" t="n">
        <f aca="false">F70*I70</f>
        <v>3.8478</v>
      </c>
    </row>
    <row r="71" customFormat="false" ht="12.8" hidden="false" customHeight="false" outlineLevel="0" collapsed="false">
      <c r="A71" s="0" t="s">
        <v>281</v>
      </c>
      <c r="B71" s="0" t="s">
        <v>282</v>
      </c>
      <c r="C71" s="0" t="s">
        <v>283</v>
      </c>
      <c r="D71" s="0" t="s">
        <v>284</v>
      </c>
      <c r="E71" s="0" t="s">
        <v>285</v>
      </c>
      <c r="F71" s="0" t="n">
        <v>1</v>
      </c>
      <c r="I71" s="0" t="n">
        <v>0.1148</v>
      </c>
      <c r="K71" s="0" t="n">
        <f aca="false">F71*I71</f>
        <v>0.1148</v>
      </c>
    </row>
    <row r="72" customFormat="false" ht="12.8" hidden="false" customHeight="false" outlineLevel="0" collapsed="false">
      <c r="A72" s="0" t="s">
        <v>286</v>
      </c>
      <c r="B72" s="0" t="s">
        <v>287</v>
      </c>
      <c r="C72" s="0" t="s">
        <v>288</v>
      </c>
      <c r="D72" s="0" t="s">
        <v>289</v>
      </c>
      <c r="E72" s="0" t="s">
        <v>290</v>
      </c>
      <c r="F72" s="0" t="n">
        <v>1</v>
      </c>
      <c r="I72" s="0" t="n">
        <v>1.1216</v>
      </c>
      <c r="K72" s="0" t="n">
        <f aca="false">F72*I72</f>
        <v>1.1216</v>
      </c>
    </row>
    <row r="73" customFormat="false" ht="12.8" hidden="false" customHeight="false" outlineLevel="0" collapsed="false">
      <c r="A73" s="0" t="s">
        <v>291</v>
      </c>
      <c r="B73" s="0" t="s">
        <v>292</v>
      </c>
      <c r="C73" s="0" t="s">
        <v>293</v>
      </c>
      <c r="D73" s="0" t="s">
        <v>292</v>
      </c>
      <c r="E73" s="0" t="s">
        <v>294</v>
      </c>
      <c r="F73" s="0" t="n">
        <v>1</v>
      </c>
      <c r="I73" s="0" t="n">
        <v>5.82</v>
      </c>
      <c r="K73" s="0" t="n">
        <f aca="false">F73*I73</f>
        <v>5.82</v>
      </c>
    </row>
    <row r="74" customFormat="false" ht="12.8" hidden="false" customHeight="false" outlineLevel="0" collapsed="false">
      <c r="A74" s="0" t="s">
        <v>295</v>
      </c>
      <c r="B74" s="0" t="s">
        <v>296</v>
      </c>
      <c r="C74" s="0" t="s">
        <v>297</v>
      </c>
      <c r="D74" s="0" t="s">
        <v>296</v>
      </c>
      <c r="E74" s="0" t="s">
        <v>298</v>
      </c>
      <c r="F74" s="0" t="n">
        <v>1</v>
      </c>
      <c r="I74" s="1" t="n">
        <v>9.4875</v>
      </c>
      <c r="K74" s="0" t="n">
        <f aca="false">F74*I74</f>
        <v>9.4875</v>
      </c>
    </row>
    <row r="75" customFormat="false" ht="12.8" hidden="false" customHeight="false" outlineLevel="0" collapsed="false">
      <c r="A75" s="0" t="s">
        <v>299</v>
      </c>
      <c r="B75" s="0" t="s">
        <v>300</v>
      </c>
      <c r="C75" s="0" t="s">
        <v>301</v>
      </c>
      <c r="D75" s="0" t="s">
        <v>302</v>
      </c>
      <c r="E75" s="0" t="s">
        <v>303</v>
      </c>
      <c r="F75" s="0" t="n">
        <v>4</v>
      </c>
      <c r="I75" s="0" t="n">
        <v>0.4396</v>
      </c>
      <c r="K75" s="0" t="n">
        <f aca="false">F75*I75</f>
        <v>1.7584</v>
      </c>
    </row>
    <row r="76" customFormat="false" ht="12.8" hidden="false" customHeight="false" outlineLevel="0" collapsed="false">
      <c r="A76" s="0" t="s">
        <v>304</v>
      </c>
      <c r="B76" s="0" t="s">
        <v>305</v>
      </c>
      <c r="C76" s="0" t="s">
        <v>306</v>
      </c>
      <c r="D76" s="0" t="s">
        <v>305</v>
      </c>
      <c r="E76" s="0" t="s">
        <v>307</v>
      </c>
      <c r="F76" s="0" t="n">
        <v>1</v>
      </c>
      <c r="I76" s="0" t="n">
        <v>5.9424</v>
      </c>
      <c r="K76" s="0" t="n">
        <f aca="false">F76*I76</f>
        <v>5.9424</v>
      </c>
    </row>
    <row r="77" customFormat="false" ht="12.8" hidden="false" customHeight="false" outlineLevel="0" collapsed="false">
      <c r="A77" s="0" t="s">
        <v>308</v>
      </c>
      <c r="B77" s="0" t="s">
        <v>309</v>
      </c>
      <c r="C77" s="0" t="s">
        <v>310</v>
      </c>
      <c r="D77" s="0" t="s">
        <v>311</v>
      </c>
      <c r="E77" s="0" t="s">
        <v>312</v>
      </c>
      <c r="F77" s="0" t="n">
        <v>1</v>
      </c>
      <c r="I77" s="0" t="n">
        <v>1.0392</v>
      </c>
      <c r="K77" s="0" t="n">
        <f aca="false">F77*I77</f>
        <v>1.0392</v>
      </c>
    </row>
    <row r="78" customFormat="false" ht="12.8" hidden="false" customHeight="false" outlineLevel="0" collapsed="false">
      <c r="A78" s="0" t="s">
        <v>313</v>
      </c>
      <c r="B78" s="0" t="s">
        <v>314</v>
      </c>
      <c r="C78" s="0" t="s">
        <v>314</v>
      </c>
      <c r="D78" s="0" t="s">
        <v>314</v>
      </c>
      <c r="E78" s="0" t="s">
        <v>315</v>
      </c>
      <c r="F78" s="0" t="n">
        <v>1</v>
      </c>
      <c r="I78" s="0" t="n">
        <v>3</v>
      </c>
      <c r="K78" s="0" t="n">
        <f aca="false">F78*I78</f>
        <v>3</v>
      </c>
    </row>
    <row r="79" customFormat="false" ht="12.8" hidden="false" customHeight="false" outlineLevel="0" collapsed="false">
      <c r="A79" s="0" t="s">
        <v>316</v>
      </c>
      <c r="B79" s="0" t="s">
        <v>317</v>
      </c>
      <c r="C79" s="0" t="s">
        <v>318</v>
      </c>
      <c r="D79" s="0" t="s">
        <v>319</v>
      </c>
      <c r="E79" s="0" t="s">
        <v>320</v>
      </c>
      <c r="F79" s="0" t="n">
        <v>1</v>
      </c>
      <c r="I79" s="0" t="n">
        <v>1.1267</v>
      </c>
      <c r="K79" s="0" t="n">
        <f aca="false">F79*I79</f>
        <v>1.1267</v>
      </c>
    </row>
    <row r="80" customFormat="false" ht="12.8" hidden="false" customHeight="false" outlineLevel="0" collapsed="false">
      <c r="A80" s="0" t="s">
        <v>321</v>
      </c>
      <c r="B80" s="0" t="s">
        <v>322</v>
      </c>
      <c r="C80" s="0" t="s">
        <v>323</v>
      </c>
      <c r="D80" s="0" t="s">
        <v>324</v>
      </c>
      <c r="E80" s="0" t="s">
        <v>325</v>
      </c>
      <c r="F80" s="0" t="n">
        <v>1</v>
      </c>
      <c r="I80" s="0" t="n">
        <v>0.75</v>
      </c>
      <c r="K80" s="0" t="n">
        <f aca="false">F80*I80</f>
        <v>0.75</v>
      </c>
    </row>
    <row r="81" customFormat="false" ht="12.8" hidden="false" customHeight="false" outlineLevel="0" collapsed="false">
      <c r="A81" s="0" t="s">
        <v>326</v>
      </c>
      <c r="B81" s="0" t="s">
        <v>327</v>
      </c>
      <c r="C81" s="0" t="s">
        <v>328</v>
      </c>
      <c r="D81" s="0" t="s">
        <v>329</v>
      </c>
      <c r="E81" s="0" t="s">
        <v>330</v>
      </c>
      <c r="F81" s="0" t="n">
        <v>1</v>
      </c>
      <c r="I81" s="0" t="n">
        <v>0.1765</v>
      </c>
      <c r="K81" s="0" t="n">
        <f aca="false">F81*I81</f>
        <v>0.1765</v>
      </c>
    </row>
    <row r="82" customFormat="false" ht="12.8" hidden="false" customHeight="false" outlineLevel="0" collapsed="false">
      <c r="A82" s="0" t="s">
        <v>331</v>
      </c>
      <c r="B82" s="0" t="s">
        <v>332</v>
      </c>
      <c r="C82" s="0" t="s">
        <v>333</v>
      </c>
      <c r="D82" s="0" t="s">
        <v>334</v>
      </c>
      <c r="E82" s="0" t="s">
        <v>335</v>
      </c>
      <c r="F82" s="0" t="n">
        <v>2</v>
      </c>
      <c r="H82" s="0" t="s">
        <v>334</v>
      </c>
      <c r="I82" s="0" t="n">
        <v>0.4541</v>
      </c>
      <c r="K82" s="0" t="n">
        <f aca="false">F82*I82</f>
        <v>0.9082</v>
      </c>
    </row>
    <row r="83" customFormat="false" ht="12.8" hidden="false" customHeight="false" outlineLevel="0" collapsed="false">
      <c r="K83" s="0" t="n">
        <f aca="false">SUM(K2:K82)</f>
        <v>46.7703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2025-10-17T15:46:09Z</dcterms:modified>
  <cp:revision>3</cp:revision>
  <dc:subject/>
  <dc:title/>
</cp:coreProperties>
</file>